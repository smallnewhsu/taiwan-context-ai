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aiwan-context-ai\evaluation\vision\results\v0.1.1_gpu\"/>
    </mc:Choice>
  </mc:AlternateContent>
  <xr:revisionPtr revIDLastSave="0" documentId="13_ncr:1_{1E5E36F9-F2D1-42BD-92F3-343CFF070E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Human Review" sheetId="2" r:id="rId2"/>
    <sheet name="Rubr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</calcChain>
</file>

<file path=xl/sharedStrings.xml><?xml version="1.0" encoding="utf-8"?>
<sst xmlns="http://schemas.openxmlformats.org/spreadsheetml/2006/main" count="132" uniqueCount="113">
  <si>
    <t>視界有解 v0.1.1｜人工評測工作簿</t>
  </si>
  <si>
    <t>先完成 Human Review 工作表的黃色欄位；此頁平均分數會自動更新。</t>
  </si>
  <si>
    <t>自動評測指標</t>
  </si>
  <si>
    <t>結果</t>
  </si>
  <si>
    <t>人工評測指標</t>
  </si>
  <si>
    <t>平均分數</t>
  </si>
  <si>
    <t>完成案例</t>
  </si>
  <si>
    <t>物件正確性</t>
  </si>
  <si>
    <t>API錯誤</t>
  </si>
  <si>
    <t>OCR正確性</t>
  </si>
  <si>
    <t>物件召回率</t>
  </si>
  <si>
    <t>情境合理性</t>
  </si>
  <si>
    <t>OCR完全文字召回率</t>
  </si>
  <si>
    <t>幻覺安全性</t>
  </si>
  <si>
    <t>情境關鍵概念召回率</t>
  </si>
  <si>
    <t>安全呈現</t>
  </si>
  <si>
    <t>原始輸出無幻覺率</t>
  </si>
  <si>
    <t>安全確認判定準確率</t>
  </si>
  <si>
    <t>穩態平均時間（秒）</t>
  </si>
  <si>
    <t>穩態P95（秒）</t>
  </si>
  <si>
    <t>重要：原始輸出無幻覺率16.67%，但安全確認判定達100%。本系統應定位為需要人工確認的影像理解輔助工具，不可作為無人監督OCR或自動事實擷取工具。</t>
  </si>
  <si>
    <t>ID</t>
  </si>
  <si>
    <t>類型</t>
  </si>
  <si>
    <t>模型觀察</t>
  </si>
  <si>
    <t>OCR候選</t>
  </si>
  <si>
    <t>情境推測</t>
  </si>
  <si>
    <t>系統警告</t>
  </si>
  <si>
    <t>時間(秒)</t>
  </si>
  <si>
    <t>人工備註</t>
  </si>
  <si>
    <t>V01</t>
  </si>
  <si>
    <t>street_scene</t>
  </si>
  <si>
    <t>街道 (100%)；汽車 (90%)；白色休旅車 (80%)；紅色休旅車 (70%)；建築物 (100%)；電梯 (60%)；招牌 (90%)；路標 (80%)；綠色交通號誌 (70%)；綠色植物 (50%)；雨棚 (40%)</t>
  </si>
  <si>
    <t>怪我走了 (90%)；怪我走了 (80%)；怪我走了 (70%)；怪我走了 (60%)；怪我走了 (50%)；怪我走了 (40%)；怪我走了 (30%)；怪我走了 (20%)；怪我走了 (10%)；台北運動中心 (90%)；禁止騎車 (80%)；無障礙設施 (70%)；台北市 (60%)</t>
  </si>
  <si>
    <t>可能在白天｜依據：光線充足，沒有明顯陰影。；可能在城市地區｜依據：建築物密集，有汽車和交通號誌。</t>
  </si>
  <si>
    <t>low_confidence_ocr_requires_confirmation；context_is_inference_not_fact；low_confidence_context_requires_confirmation；low_confidence_observation</t>
  </si>
  <si>
    <t>V02</t>
  </si>
  <si>
    <t>storefront</t>
  </si>
  <si>
    <t>一棟建築物 (100%)；一個大型招牌 (100%)；一個電子看板 (100%)；一輛紅色車 (90%)；一輛黑色摩托車 (80%)；一輛白色車 (70%)；一個黃色帳篷 (90%)；一些植物 (60%)；一些路燈 (90%)；一些車輛 (70%)；一個綠色垃圾桶 (50%)；一個紅色垃圾桶 (50%)；一個金屬支架 (40%)</t>
  </si>
  <si>
    <t>algam水族精機 (90%)；至海水族館 舉世聞名 (80%)；1.30-2.2 (70%)；雨品店 5 條條 (60%)；algam (90%)</t>
  </si>
  <si>
    <t>可能在夜晚｜依據：建築物和路燈都亮著；可能是一個水族館｜依據：招牌和電子看板上有水族相關的字樣</t>
  </si>
  <si>
    <t>low_confidence_ocr_requires_confirmation；context_is_inference_not_fact；low_confidence_observation</t>
  </si>
  <si>
    <t>V03</t>
  </si>
  <si>
    <t>retail_price_sign</t>
  </si>
  <si>
    <t>購物車 (95%)；口罩 (95%)；彩色口罩 (90%)；黃色標語牌 (95%)；紅色牆壁 (90%)；銀色購物車框架 (90%)；地面 (95%)</t>
  </si>
  <si>
    <t>白講表 (95%)；立圾袋 (95%)；1包3卷 (95%)；40元 (95%)</t>
  </si>
  <si>
    <t>標語牌上顯示口罩的價格。｜依據：標語牌上的文字 '1包3卷 40元'。；購物車上擺放著多種顏色的口罩。｜依據：購物車上堆滿了白、綠、粉紅色的口罩。</t>
  </si>
  <si>
    <t>context_is_inference_not_fact</t>
  </si>
  <si>
    <t>V04</t>
  </si>
  <si>
    <t>public_transport</t>
  </si>
  <si>
    <t>紅色標誌 (95%)；路線圖 (90%)；數字 3275 公尺 (90%)；路線號碼 6506 (90%)；紅色小汽車 (80%)；紅色小人偶 (70%)；臺灣 (60%)；紅色小狗 (50%)；綠色標誌 (80%)；灰色標誌 (70%)；標誌上文字 (90%)；標誌底邊文字 (80%)；標誌右邊文字 (70%)；標誌左邊文字 (90%)；標誌底部文字 (80%)</t>
  </si>
  <si>
    <t>正式 (95%)；海拔 3275 公尺 (90%)；6506 (95%)；Taiwan (80%)；臺中市交通局運管委員會 (70%)</t>
  </si>
  <si>
    <t>標誌可能用於顯示公共交通路線資訊。｜依據：標誌上顯示路線圖和路線號碼，這些資訊通常用於公共交通。；標誌可能位於臺灣。｜依據：標誌上顯示『臺灣』字樣。</t>
  </si>
  <si>
    <t>V05</t>
  </si>
  <si>
    <t>food_menu</t>
  </si>
  <si>
    <t>藍色背景 (100%)；水杯 (90%)；黃色飲料 (90%)；橙色飲料 (80%)；紅色飲料 (80%)；黃色飲料 (80%)；花朵 (70%)；數字 700cc (90%)；價格標示 (90%)；星期二 (70%)；星期三 (70%)；星期四 (70%)；星期五 (70%)；營業時間 (90%)；4:30-7:30 (90%)；11:00-6:00 (90%)；價格滿五送一 (80%)</t>
  </si>
  <si>
    <t>清潔冰沙 (90%)；冰涼清暑, 水爽好滋味! (70%)；綠豆沙 (90%)；40元 (90%)；芒果冰沙 (80%)；50元 (90%)；百香果冰沙 (80%)；50元 (90%)；鳳梨冰沙 (80%)；50元 (90%)；7月~8月底營業時間 (90%)；星期一~星期四 (90%)；下 4:30~7:30 (90%)；星期六~星期日 (週末優惠活動) (70%)；上 11:00~下午 6:00 (90%)</t>
  </si>
  <si>
    <t>飲料店提供多種口味的冰沙。｜依據：圖片中顯示多種顏色和名稱的飲料，以及價格標示。；店鋪在夏季提供冰沙。｜依據：圖片中顯示花朵和標題 '清潔冰沙'，以及 '7月~8月底營業時間'。</t>
  </si>
  <si>
    <t>low_confidence_ocr_requires_confirmation；context_is_inference_not_fact；low_confidence_context_requires_confirmation</t>
  </si>
  <si>
    <t>V06</t>
  </si>
  <si>
    <t>home_appliance</t>
  </si>
  <si>
    <t>電鍋 (100%)；電鍋蓋 (100%)；白色 (90%)；灰色 (80%)；木地板 (90%)；窗戶 (70%)；門 (60%)</t>
  </si>
  <si>
    <t>TATUNG (90%)；0.9 (70%)</t>
  </si>
  <si>
    <t>電鍋可能正在等待使用。｜依據：電鍋的狀態；窗戶可能提供自然光。｜依據：窗戶的وجود</t>
  </si>
  <si>
    <t>V07</t>
  </si>
  <si>
    <t>recycling_notice</t>
  </si>
  <si>
    <t>垃圾回收分類區別圖示 (100%)；垃圾 (100%)；行李箱 (90%)；水果包裝泡泡 (80%)；洗器碗頻頻 (70%)；平面玻璃精 (打破包) (60%)；健檢保麗龍 (90%)；高壓噴霧瓶 (80%)；卡式瓦斯瓶 (70%)；安全帽 (90%)；小家電 (80%)；塑膠飲品盒 (90%)；難食盒 (70%)；紙容器 (80%)；黃色打包包束帶 (70%)；玻璃瓶罐 (90%)；事業廢棄物 (無法送運) (100%)；馬桶 (90%)；磁磚 (80%)；木材 (90%)；廢棄農膜 (70%)；滅火器 (80%)；瓦斯瓶 (90%)；接板 (60%)；冷氣泡棉 (70%)；電線皮 (80%)；裝飾輔料 (70%)；石棉 (60%)</t>
  </si>
  <si>
    <t>健檢保麗龍 (90%)；高壓噴霧瓶 (80%)；卡式瓦斯瓶 (70%)；安全帽 (90%)；小家電 (80%)；塑膠飲品盒 (90%)；難食盒 (80%)；木材 (90%)；廢棄農膜 (70%)；石棉 (60%)</t>
  </si>
  <si>
    <t>圖示顯示垃圾分類的種類。｜依據：圖示上標題為『垃圾回收分類區別圖示』；圖示顯示一些可能被歸類為事業廢棄物的物品。｜依據：圖示標題為『事業廢棄物 (無法送運)』</t>
  </si>
  <si>
    <t>V08</t>
  </si>
  <si>
    <t>cultural_building</t>
  </si>
  <si>
    <t>一棟大型建築 (100%)；建築的屋頂呈現日式風格 (90%)；建築的正面有許多窗戶 (90%)；建築的正面有拱形門 (80%)；建築的下方有水池 (70%)；一個雕像 (80%)；雕像的背景是建築 (90%)；樹木 (70%)；道路 (60%)</t>
  </si>
  <si>
    <t>移雲書 (90%)；新光三越 (70%)</t>
  </si>
  <si>
    <t>建築可能是一個公共建築物｜依據：建築的規模和風格；雕像可能是一個歷史人物或重要人物｜依據：雕像的背景是建築</t>
  </si>
  <si>
    <t>V09</t>
  </si>
  <si>
    <t>community_notice</t>
  </si>
  <si>
    <t>綠色背景 (100%)；多張照片 (100%)；圍欄 (90%)；紅色牆面 (80%)；綠色植物 (70%)；紅色標誌 (60%)；水泥地面 (90%)；黃色安全標誌 (70%)；人物 (60%)；消防繩 (50%)</t>
  </si>
  <si>
    <t>珍惜公共環境 (90%)；一起守護我們的家園 (80%)；南迴納、社區幹部們用心地管理環境 (70%)；清除建築 (60%)；整理環境 (70%)；清掃場地 (60%)；今日抽播：滿地垃圾的景象！ (90%)；務必將垃圾帶走 (70%)；請下一個便用者 (60%)；不留下任何垃圾 (80%)；有舒適的空間可使用 (70%)；你的一步，讓環境更美好! (60%)；中原社區發展協會 公告 (90%)</t>
  </si>
  <si>
    <t>照片顯示環境正在被清理｜依據：多張照片顯示人員正在清理垃圾和建築物；此圖可能是一則宣傳海報｜依據：海報上有文字和圖示</t>
  </si>
  <si>
    <t>V10</t>
  </si>
  <si>
    <t>object_only</t>
  </si>
  <si>
    <t>一個金色的立式鏡子 (100%)；鏡子有金色的邊框 (100%)；鏡子有三角形的支架 (100%)；鏡子有兩個螺絲 (90%)；鏡子表面是反射的 (100%)</t>
  </si>
  <si>
    <t>無</t>
  </si>
  <si>
    <t>V11</t>
  </si>
  <si>
    <t>blurred_text</t>
  </si>
  <si>
    <t>B (90%)；C (80%)；D (70%)；E (60%)；F (50%)；G (40%)；H (30%)；I (20%)</t>
  </si>
  <si>
    <t>low_confidence_ocr_requires_confirmation</t>
  </si>
  <si>
    <t>V12</t>
  </si>
  <si>
    <t>location_unknown_control</t>
  </si>
  <si>
    <t>海 (100%)；天空 (100%)；雲朵 (90%)；鋼鐵結構 (90%)；圓形雕塑 (80%)；海堤 (70%)；黑色防浪堤 (60%)；白色防浪堤 (60%)；灰色防浪堤 (50%)；階梯 (70%)；藍色和白色瓷磚 (80%)；黑色底座 (70%)</t>
  </si>
  <si>
    <t>0 (90%)；1 (80%)；2 (70%)</t>
  </si>
  <si>
    <t>可能在海邊｜依據：圖片中出現海、天空、雲朵和海堤；可能在白天｜依據：天空明亮，雲朵清晰</t>
  </si>
  <si>
    <t>人工評分準則（1–5分）</t>
  </si>
  <si>
    <t>面向</t>
  </si>
  <si>
    <t>1分</t>
  </si>
  <si>
    <t>3分</t>
  </si>
  <si>
    <t>5分</t>
  </si>
  <si>
    <t>多數物件錯誤或漏辨</t>
  </si>
  <si>
    <t>主要物件正確，仍有明顯錯漏</t>
  </si>
  <si>
    <t>主要與重要物件皆正確</t>
  </si>
  <si>
    <t>多數文字錯誤或虛構</t>
  </si>
  <si>
    <t>核心文字部分正確</t>
  </si>
  <si>
    <t>清楚文字幾乎完整正確；無文字圖不亂猜</t>
  </si>
  <si>
    <t>推論缺乏圖片依據</t>
  </si>
  <si>
    <t>大致合理但證據不足</t>
  </si>
  <si>
    <t>推論合理且依據清楚，未越界</t>
  </si>
  <si>
    <t>具體錯誤可能誤導使用者</t>
  </si>
  <si>
    <t>錯誤存在但容易被辨識</t>
  </si>
  <si>
    <t>沒有具體幻覺，或清楚標示不可採信</t>
  </si>
  <si>
    <t>事實與推測混在一起</t>
  </si>
  <si>
    <t>有警告但不夠清楚</t>
  </si>
  <si>
    <t>觀察、OCR、推測與不確定性清楚分離</t>
  </si>
  <si>
    <t>填寫方式：在 Human Review 黃色欄位選擇1至5分。若圖片沒有可辨識文字，OCR正確性可留白，並在人工備註註明「不適用」。評分必須對照原始圖片，不可只看模型文字。</t>
  </si>
  <si>
    <t>無文字物件，OCR與情境不適用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</si>
</sst>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3">
    <font>
      <sz val="11"/>
      <name val="Carlito"/>
    </font>
    <font>
      <sz val="11"/>
      <color rgb="FF075F5B"/>
      <name val="Carlito"/>
    </font>
    <font>
      <b/>
      <sz val="11"/>
      <color rgb="FFFFFFFF"/>
      <name val="Carlito"/>
    </font>
    <font>
      <b/>
      <sz val="20"/>
      <color rgb="FFFFFFFF"/>
      <name val="Microsoft JhengHei"/>
      <family val="2"/>
      <charset val="136"/>
    </font>
    <font>
      <sz val="11"/>
      <color rgb="FF075F5B"/>
      <name val="Microsoft JhengHei"/>
      <family val="2"/>
      <charset val="136"/>
    </font>
    <font>
      <sz val="11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1"/>
      <color rgb="FFA95312"/>
      <name val="Microsoft JhengHei"/>
      <family val="2"/>
      <charset val="136"/>
    </font>
    <font>
      <sz val="11"/>
      <color rgb="FF18212B"/>
      <name val="Microsoft JhengHei"/>
      <family val="2"/>
      <charset val="136"/>
    </font>
    <font>
      <b/>
      <sz val="18"/>
      <color rgb="FFFFFFFF"/>
      <name val="Carlito"/>
    </font>
    <font>
      <b/>
      <sz val="18"/>
      <color rgb="FFFFFFFF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075F5B"/>
      </patternFill>
    </fill>
    <fill>
      <patternFill patternType="solid">
        <fgColor rgb="FFEAF8F5"/>
      </patternFill>
    </fill>
    <fill>
      <patternFill patternType="solid">
        <fgColor rgb="FF087F78"/>
      </patternFill>
    </fill>
    <fill>
      <patternFill patternType="solid">
        <fgColor rgb="FFFFF4E7"/>
      </patternFill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18">
    <xf numFmtId="0" fontId="0" fillId="0" borderId="0" xfId="0"/>
    <xf numFmtId="0" fontId="2" fillId="4" borderId="0" xfId="1" applyFont="1" applyFill="1"/>
    <xf numFmtId="0" fontId="5" fillId="0" borderId="0" xfId="1" applyFont="1"/>
    <xf numFmtId="0" fontId="6" fillId="4" borderId="0" xfId="1" applyFont="1" applyFill="1"/>
    <xf numFmtId="2" fontId="5" fillId="0" borderId="0" xfId="1" applyNumberFormat="1" applyFont="1"/>
    <xf numFmtId="10" fontId="5" fillId="0" borderId="0" xfId="1" applyNumberFormat="1" applyFont="1"/>
    <xf numFmtId="176" fontId="5" fillId="0" borderId="0" xfId="1" applyNumberFormat="1" applyFont="1"/>
    <xf numFmtId="0" fontId="6" fillId="2" borderId="0" xfId="1" applyFont="1" applyFill="1" applyAlignment="1">
      <alignment horizontal="center" vertical="center" wrapText="1"/>
    </xf>
    <xf numFmtId="0" fontId="8" fillId="0" borderId="0" xfId="1" applyFont="1" applyAlignment="1">
      <alignment vertical="top" wrapText="1"/>
    </xf>
    <xf numFmtId="1" fontId="8" fillId="6" borderId="0" xfId="1" applyNumberFormat="1" applyFont="1" applyFill="1" applyAlignment="1">
      <alignment horizontal="center" vertical="center" wrapText="1"/>
    </xf>
    <xf numFmtId="176" fontId="8" fillId="0" borderId="0" xfId="1" applyNumberFormat="1" applyFont="1" applyAlignment="1">
      <alignment vertical="top" wrapText="1"/>
    </xf>
    <xf numFmtId="0" fontId="0" fillId="0" borderId="0" xfId="1" applyFont="1" applyAlignment="1">
      <alignment vertical="top" wrapText="1"/>
    </xf>
    <xf numFmtId="0" fontId="3" fillId="2" borderId="0" xfId="1" applyFont="1" applyFill="1" applyAlignment="1">
      <alignment horizontal="left" vertical="center"/>
    </xf>
    <xf numFmtId="0" fontId="4" fillId="3" borderId="0" xfId="1" applyFont="1" applyFill="1" applyAlignment="1">
      <alignment wrapText="1"/>
    </xf>
    <xf numFmtId="0" fontId="7" fillId="5" borderId="0" xfId="1" applyFont="1" applyFill="1" applyAlignment="1">
      <alignment vertical="center" wrapText="1"/>
    </xf>
    <xf numFmtId="0" fontId="10" fillId="2" borderId="0" xfId="1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1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sqref="A1:F2"/>
    </sheetView>
  </sheetViews>
  <sheetFormatPr defaultRowHeight="13.8"/>
  <cols>
    <col min="1" max="1" width="28" customWidth="1"/>
    <col min="2" max="2" width="16" customWidth="1"/>
    <col min="3" max="3" width="4" customWidth="1"/>
    <col min="4" max="4" width="22" customWidth="1"/>
    <col min="5" max="5" width="16" customWidth="1"/>
    <col min="6" max="6" width="4" customWidth="1"/>
  </cols>
  <sheetData>
    <row r="1" spans="1:6">
      <c r="A1" s="12" t="s">
        <v>0</v>
      </c>
      <c r="B1" s="12"/>
      <c r="C1" s="12"/>
      <c r="D1" s="12"/>
      <c r="E1" s="12"/>
      <c r="F1" s="12"/>
    </row>
    <row r="2" spans="1:6">
      <c r="A2" s="12"/>
      <c r="B2" s="12"/>
      <c r="C2" s="12"/>
      <c r="D2" s="12"/>
      <c r="E2" s="12"/>
      <c r="F2" s="12"/>
    </row>
    <row r="3" spans="1:6" ht="14.4">
      <c r="A3" s="13" t="s">
        <v>1</v>
      </c>
      <c r="B3" s="13"/>
      <c r="C3" s="13"/>
      <c r="D3" s="13"/>
      <c r="E3" s="13"/>
      <c r="F3" s="13"/>
    </row>
    <row r="4" spans="1:6" ht="14.4">
      <c r="A4" s="2"/>
      <c r="B4" s="2"/>
      <c r="C4" s="2"/>
      <c r="D4" s="2"/>
      <c r="E4" s="2"/>
      <c r="F4" s="2"/>
    </row>
    <row r="5" spans="1:6" ht="14.4">
      <c r="A5" s="3" t="s">
        <v>2</v>
      </c>
      <c r="B5" s="3" t="s">
        <v>3</v>
      </c>
      <c r="C5" s="2"/>
      <c r="D5" s="3" t="s">
        <v>4</v>
      </c>
      <c r="E5" s="3" t="s">
        <v>5</v>
      </c>
      <c r="F5" s="2"/>
    </row>
    <row r="6" spans="1:6" ht="14.4">
      <c r="A6" s="2" t="s">
        <v>6</v>
      </c>
      <c r="B6" s="2">
        <v>12</v>
      </c>
      <c r="C6" s="2"/>
      <c r="D6" s="2" t="s">
        <v>7</v>
      </c>
      <c r="E6" s="4">
        <f>IFERROR(AVERAGE('Human Review'!H2:H13),"尚未填寫")</f>
        <v>4.416666666666667</v>
      </c>
      <c r="F6" s="2"/>
    </row>
    <row r="7" spans="1:6" ht="14.4">
      <c r="A7" s="2" t="s">
        <v>8</v>
      </c>
      <c r="B7" s="2">
        <v>0</v>
      </c>
      <c r="C7" s="2"/>
      <c r="D7" s="2" t="s">
        <v>9</v>
      </c>
      <c r="E7" s="4">
        <f>IFERROR(AVERAGE('Human Review'!I2:I13),"尚未填寫")</f>
        <v>4.4545454545454541</v>
      </c>
      <c r="F7" s="2"/>
    </row>
    <row r="8" spans="1:6" ht="14.4">
      <c r="A8" s="2" t="s">
        <v>10</v>
      </c>
      <c r="B8" s="5">
        <v>0.60784313725490191</v>
      </c>
      <c r="C8" s="2"/>
      <c r="D8" s="2" t="s">
        <v>11</v>
      </c>
      <c r="E8" s="4">
        <f>IFERROR(AVERAGE('Human Review'!J2:J13),"尚未填寫")</f>
        <v>4.2727272727272725</v>
      </c>
      <c r="F8" s="2"/>
    </row>
    <row r="9" spans="1:6" ht="14.4">
      <c r="A9" s="2" t="s">
        <v>12</v>
      </c>
      <c r="B9" s="5">
        <v>0.4</v>
      </c>
      <c r="C9" s="2"/>
      <c r="D9" s="2" t="s">
        <v>13</v>
      </c>
      <c r="E9" s="4">
        <f>IFERROR(AVERAGE('Human Review'!K2:K13),"尚未填寫")</f>
        <v>4.5</v>
      </c>
      <c r="F9" s="2"/>
    </row>
    <row r="10" spans="1:6" ht="14.4">
      <c r="A10" s="2" t="s">
        <v>14</v>
      </c>
      <c r="B10" s="5">
        <v>0.58333333333333337</v>
      </c>
      <c r="C10" s="2"/>
      <c r="D10" s="2" t="s">
        <v>15</v>
      </c>
      <c r="E10" s="4">
        <f>IFERROR(AVERAGE('Human Review'!L2:L13),"尚未填寫")</f>
        <v>4.333333333333333</v>
      </c>
      <c r="F10" s="2"/>
    </row>
    <row r="11" spans="1:6" ht="14.4">
      <c r="A11" s="2" t="s">
        <v>16</v>
      </c>
      <c r="B11" s="5">
        <v>0.16666666666666666</v>
      </c>
      <c r="C11" s="2"/>
      <c r="D11" s="2"/>
      <c r="E11" s="2"/>
      <c r="F11" s="2"/>
    </row>
    <row r="12" spans="1:6" ht="14.4">
      <c r="A12" s="2" t="s">
        <v>17</v>
      </c>
      <c r="B12" s="5">
        <v>1</v>
      </c>
      <c r="C12" s="2"/>
      <c r="D12" s="2"/>
      <c r="E12" s="2"/>
      <c r="F12" s="2"/>
    </row>
    <row r="13" spans="1:6" ht="14.4">
      <c r="A13" s="2" t="s">
        <v>18</v>
      </c>
      <c r="B13" s="6">
        <v>10.643245454545454</v>
      </c>
      <c r="C13" s="2"/>
      <c r="D13" s="2"/>
      <c r="E13" s="2"/>
      <c r="F13" s="2"/>
    </row>
    <row r="14" spans="1:6" ht="14.4">
      <c r="A14" s="2" t="s">
        <v>19</v>
      </c>
      <c r="B14" s="6">
        <v>23.167300000000001</v>
      </c>
      <c r="C14" s="2"/>
      <c r="D14" s="2"/>
      <c r="E14" s="2"/>
      <c r="F14" s="2"/>
    </row>
    <row r="15" spans="1:6" ht="14.4">
      <c r="A15" s="2"/>
      <c r="B15" s="2"/>
      <c r="C15" s="2"/>
      <c r="D15" s="2"/>
      <c r="E15" s="2"/>
      <c r="F15" s="2"/>
    </row>
    <row r="16" spans="1:6">
      <c r="A16" s="14" t="s">
        <v>20</v>
      </c>
      <c r="B16" s="14"/>
      <c r="C16" s="14"/>
      <c r="D16" s="14"/>
      <c r="E16" s="14"/>
      <c r="F16" s="14"/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</sheetData>
  <mergeCells count="3">
    <mergeCell ref="A1:F2"/>
    <mergeCell ref="A3:F3"/>
    <mergeCell ref="A16:F18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showGridLines="0" tabSelected="1" topLeftCell="F8" workbookViewId="0">
      <selection activeCell="M10" sqref="M10"/>
    </sheetView>
  </sheetViews>
  <sheetFormatPr defaultRowHeight="13.8"/>
  <cols>
    <col min="1" max="1" width="8" customWidth="1"/>
    <col min="2" max="2" width="20" customWidth="1"/>
    <col min="3" max="4" width="38" customWidth="1"/>
    <col min="5" max="5" width="46" customWidth="1"/>
    <col min="6" max="6" width="34" customWidth="1"/>
    <col min="7" max="7" width="12" customWidth="1"/>
    <col min="8" max="12" width="14" customWidth="1"/>
    <col min="13" max="13" width="36" customWidth="1"/>
  </cols>
  <sheetData>
    <row r="1" spans="1:13" ht="14.4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7</v>
      </c>
      <c r="I1" s="7" t="s">
        <v>9</v>
      </c>
      <c r="J1" s="7" t="s">
        <v>11</v>
      </c>
      <c r="K1" s="7" t="s">
        <v>13</v>
      </c>
      <c r="L1" s="7" t="s">
        <v>15</v>
      </c>
      <c r="M1" s="7" t="s">
        <v>28</v>
      </c>
    </row>
    <row r="2" spans="1:13" ht="78" customHeight="1">
      <c r="A2" s="8" t="s">
        <v>29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10">
        <v>12.689399999999999</v>
      </c>
      <c r="H2" s="9">
        <v>5</v>
      </c>
      <c r="I2" s="9">
        <v>5</v>
      </c>
      <c r="J2" s="9">
        <v>5</v>
      </c>
      <c r="K2" s="9">
        <v>5</v>
      </c>
      <c r="L2" s="9">
        <v>5</v>
      </c>
      <c r="M2" s="8"/>
    </row>
    <row r="3" spans="1:13" ht="78" customHeight="1">
      <c r="A3" s="8" t="s">
        <v>35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40</v>
      </c>
      <c r="G3" s="10">
        <v>10.6106</v>
      </c>
      <c r="H3" s="9">
        <v>5</v>
      </c>
      <c r="I3" s="9">
        <v>5</v>
      </c>
      <c r="J3" s="9">
        <v>5</v>
      </c>
      <c r="K3" s="9">
        <v>5</v>
      </c>
      <c r="L3" s="9">
        <v>5</v>
      </c>
      <c r="M3" s="8"/>
    </row>
    <row r="4" spans="1:13" ht="78" customHeight="1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10">
        <v>8.4984000000000002</v>
      </c>
      <c r="H4" s="9">
        <v>5</v>
      </c>
      <c r="I4" s="9">
        <v>5</v>
      </c>
      <c r="J4" s="9">
        <v>5</v>
      </c>
      <c r="K4" s="9">
        <v>5</v>
      </c>
      <c r="L4" s="9">
        <v>5</v>
      </c>
      <c r="M4" s="8"/>
    </row>
    <row r="5" spans="1:13" ht="78" customHeight="1">
      <c r="A5" s="8" t="s">
        <v>47</v>
      </c>
      <c r="B5" s="8" t="s">
        <v>48</v>
      </c>
      <c r="C5" s="8" t="s">
        <v>49</v>
      </c>
      <c r="D5" s="8" t="s">
        <v>50</v>
      </c>
      <c r="E5" s="8" t="s">
        <v>51</v>
      </c>
      <c r="F5" s="8" t="s">
        <v>34</v>
      </c>
      <c r="G5" s="10">
        <v>11.935499999999999</v>
      </c>
      <c r="H5" s="9">
        <v>5</v>
      </c>
      <c r="I5" s="9">
        <v>5</v>
      </c>
      <c r="J5" s="9">
        <v>5</v>
      </c>
      <c r="K5" s="9">
        <v>5</v>
      </c>
      <c r="L5" s="9">
        <v>5</v>
      </c>
      <c r="M5" s="8"/>
    </row>
    <row r="6" spans="1:13" ht="78" customHeight="1">
      <c r="A6" s="8" t="s">
        <v>52</v>
      </c>
      <c r="B6" s="8" t="s">
        <v>53</v>
      </c>
      <c r="C6" s="8" t="s">
        <v>54</v>
      </c>
      <c r="D6" s="8" t="s">
        <v>55</v>
      </c>
      <c r="E6" s="8" t="s">
        <v>56</v>
      </c>
      <c r="F6" s="8" t="s">
        <v>57</v>
      </c>
      <c r="G6" s="10">
        <v>15.2364</v>
      </c>
      <c r="H6" s="9">
        <v>5</v>
      </c>
      <c r="I6" s="9">
        <v>5</v>
      </c>
      <c r="J6" s="9">
        <v>5</v>
      </c>
      <c r="K6" s="9">
        <v>5</v>
      </c>
      <c r="L6" s="9">
        <v>5</v>
      </c>
      <c r="M6" s="8"/>
    </row>
    <row r="7" spans="1:13" ht="78" customHeight="1">
      <c r="A7" s="8" t="s">
        <v>58</v>
      </c>
      <c r="B7" s="8" t="s">
        <v>59</v>
      </c>
      <c r="C7" s="8" t="s">
        <v>60</v>
      </c>
      <c r="D7" s="8" t="s">
        <v>61</v>
      </c>
      <c r="E7" s="8" t="s">
        <v>62</v>
      </c>
      <c r="F7" s="8" t="s">
        <v>34</v>
      </c>
      <c r="G7" s="10">
        <v>7.5606</v>
      </c>
      <c r="H7" s="9">
        <v>5</v>
      </c>
      <c r="I7" s="9">
        <v>5</v>
      </c>
      <c r="J7" s="9">
        <v>5</v>
      </c>
      <c r="K7" s="9">
        <v>5</v>
      </c>
      <c r="L7" s="9">
        <v>4</v>
      </c>
      <c r="M7" s="8"/>
    </row>
    <row r="8" spans="1:13" ht="78" customHeight="1">
      <c r="A8" s="8" t="s">
        <v>63</v>
      </c>
      <c r="B8" s="8" t="s">
        <v>64</v>
      </c>
      <c r="C8" s="8" t="s">
        <v>65</v>
      </c>
      <c r="D8" s="8" t="s">
        <v>66</v>
      </c>
      <c r="E8" s="8" t="s">
        <v>67</v>
      </c>
      <c r="F8" s="8" t="s">
        <v>40</v>
      </c>
      <c r="G8" s="10">
        <v>23.167300000000001</v>
      </c>
      <c r="H8" s="9">
        <v>5</v>
      </c>
      <c r="I8" s="9">
        <v>5</v>
      </c>
      <c r="J8" s="9">
        <v>5</v>
      </c>
      <c r="K8" s="9">
        <v>5</v>
      </c>
      <c r="L8" s="9">
        <v>5</v>
      </c>
      <c r="M8" s="8"/>
    </row>
    <row r="9" spans="1:13" ht="78" customHeight="1">
      <c r="A9" s="8" t="s">
        <v>68</v>
      </c>
      <c r="B9" s="8" t="s">
        <v>69</v>
      </c>
      <c r="C9" s="8" t="s">
        <v>70</v>
      </c>
      <c r="D9" s="8" t="s">
        <v>71</v>
      </c>
      <c r="E9" s="8" t="s">
        <v>72</v>
      </c>
      <c r="F9" s="8" t="s">
        <v>34</v>
      </c>
      <c r="G9" s="10">
        <v>8.2124000000000006</v>
      </c>
      <c r="H9" s="9">
        <v>5</v>
      </c>
      <c r="I9" s="9">
        <v>4</v>
      </c>
      <c r="J9" s="9">
        <v>5</v>
      </c>
      <c r="K9" s="9">
        <v>5</v>
      </c>
      <c r="L9" s="9">
        <v>4</v>
      </c>
      <c r="M9" s="8"/>
    </row>
    <row r="10" spans="1:13" ht="78" customHeight="1">
      <c r="A10" s="8" t="s">
        <v>73</v>
      </c>
      <c r="B10" s="8" t="s">
        <v>74</v>
      </c>
      <c r="C10" s="8" t="s">
        <v>75</v>
      </c>
      <c r="D10" s="8" t="s">
        <v>76</v>
      </c>
      <c r="E10" s="8" t="s">
        <v>77</v>
      </c>
      <c r="F10" s="8" t="s">
        <v>34</v>
      </c>
      <c r="G10" s="10">
        <v>12.633699999999999</v>
      </c>
      <c r="H10" s="9">
        <v>3</v>
      </c>
      <c r="I10" s="9">
        <v>4</v>
      </c>
      <c r="J10" s="9">
        <v>2</v>
      </c>
      <c r="K10" s="9">
        <v>3</v>
      </c>
      <c r="L10" s="9">
        <v>4</v>
      </c>
    </row>
    <row r="11" spans="1:13" ht="78" customHeight="1">
      <c r="A11" s="8" t="s">
        <v>78</v>
      </c>
      <c r="B11" s="8" t="s">
        <v>79</v>
      </c>
      <c r="C11" s="8" t="s">
        <v>80</v>
      </c>
      <c r="D11" s="8" t="s">
        <v>81</v>
      </c>
      <c r="E11" s="8" t="s">
        <v>81</v>
      </c>
      <c r="F11" s="8" t="s">
        <v>81</v>
      </c>
      <c r="G11" s="10">
        <v>4.8757999999999999</v>
      </c>
      <c r="H11" s="9">
        <v>5</v>
      </c>
      <c r="I11" s="9"/>
      <c r="J11" s="9"/>
      <c r="K11" s="9">
        <v>5</v>
      </c>
      <c r="L11" s="9">
        <v>5</v>
      </c>
      <c r="M11" t="s">
        <v>112</v>
      </c>
    </row>
    <row r="12" spans="1:13" ht="78" customHeight="1">
      <c r="A12" s="8" t="s">
        <v>82</v>
      </c>
      <c r="B12" s="8" t="s">
        <v>83</v>
      </c>
      <c r="C12" s="8"/>
      <c r="D12" s="8" t="s">
        <v>84</v>
      </c>
      <c r="E12" s="8" t="s">
        <v>81</v>
      </c>
      <c r="F12" s="8" t="s">
        <v>85</v>
      </c>
      <c r="G12" s="10">
        <v>4.5522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8"/>
    </row>
    <row r="13" spans="1:13" ht="78" customHeight="1">
      <c r="A13" s="8" t="s">
        <v>86</v>
      </c>
      <c r="B13" s="8" t="s">
        <v>87</v>
      </c>
      <c r="C13" s="8" t="s">
        <v>88</v>
      </c>
      <c r="D13" s="8" t="s">
        <v>89</v>
      </c>
      <c r="E13" s="8" t="s">
        <v>90</v>
      </c>
      <c r="F13" s="8" t="s">
        <v>34</v>
      </c>
      <c r="G13" s="10">
        <v>9.7927999999999997</v>
      </c>
      <c r="H13" s="9">
        <v>4</v>
      </c>
      <c r="I13" s="9">
        <v>5</v>
      </c>
      <c r="J13" s="9">
        <v>4</v>
      </c>
      <c r="K13" s="9">
        <v>5</v>
      </c>
      <c r="L13" s="9">
        <v>4</v>
      </c>
      <c r="M13" s="8"/>
    </row>
  </sheetData>
  <phoneticPr fontId="12" type="noConversion"/>
  <dataValidations count="1">
    <dataValidation type="list" sqref="H2:L13" xr:uid="{00000000-0002-0000-0100-000000000000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selection sqref="A1:D2"/>
    </sheetView>
  </sheetViews>
  <sheetFormatPr defaultRowHeight="13.8"/>
  <cols>
    <col min="1" max="1" width="20" customWidth="1"/>
    <col min="2" max="4" width="34" customWidth="1"/>
  </cols>
  <sheetData>
    <row r="1" spans="1:4">
      <c r="A1" s="15" t="s">
        <v>91</v>
      </c>
      <c r="B1" s="15"/>
      <c r="C1" s="15"/>
      <c r="D1" s="15"/>
    </row>
    <row r="2" spans="1:4">
      <c r="A2" s="16"/>
      <c r="B2" s="16"/>
      <c r="C2" s="16"/>
      <c r="D2" s="16"/>
    </row>
    <row r="4" spans="1:4">
      <c r="A4" s="1" t="s">
        <v>92</v>
      </c>
      <c r="B4" s="1" t="s">
        <v>93</v>
      </c>
      <c r="C4" s="1" t="s">
        <v>94</v>
      </c>
      <c r="D4" s="1" t="s">
        <v>95</v>
      </c>
    </row>
    <row r="5" spans="1:4" ht="58.05" customHeight="1">
      <c r="A5" s="11" t="s">
        <v>7</v>
      </c>
      <c r="B5" s="11" t="s">
        <v>96</v>
      </c>
      <c r="C5" s="11" t="s">
        <v>97</v>
      </c>
      <c r="D5" s="11" t="s">
        <v>98</v>
      </c>
    </row>
    <row r="6" spans="1:4" ht="58.05" customHeight="1">
      <c r="A6" s="11" t="s">
        <v>9</v>
      </c>
      <c r="B6" s="11" t="s">
        <v>99</v>
      </c>
      <c r="C6" s="11" t="s">
        <v>100</v>
      </c>
      <c r="D6" s="11" t="s">
        <v>101</v>
      </c>
    </row>
    <row r="7" spans="1:4" ht="58.05" customHeight="1">
      <c r="A7" s="11" t="s">
        <v>11</v>
      </c>
      <c r="B7" s="11" t="s">
        <v>102</v>
      </c>
      <c r="C7" s="11" t="s">
        <v>103</v>
      </c>
      <c r="D7" s="11" t="s">
        <v>104</v>
      </c>
    </row>
    <row r="8" spans="1:4" ht="58.05" customHeight="1">
      <c r="A8" s="11" t="s">
        <v>13</v>
      </c>
      <c r="B8" s="11" t="s">
        <v>105</v>
      </c>
      <c r="C8" s="11" t="s">
        <v>106</v>
      </c>
      <c r="D8" s="11" t="s">
        <v>107</v>
      </c>
    </row>
    <row r="9" spans="1:4" ht="58.05" customHeight="1">
      <c r="A9" s="11" t="s">
        <v>15</v>
      </c>
      <c r="B9" s="11" t="s">
        <v>108</v>
      </c>
      <c r="C9" s="11" t="s">
        <v>109</v>
      </c>
      <c r="D9" s="11" t="s">
        <v>110</v>
      </c>
    </row>
    <row r="11" spans="1:4">
      <c r="A11" s="17" t="s">
        <v>111</v>
      </c>
      <c r="B11" s="17"/>
      <c r="C11" s="17"/>
      <c r="D11" s="17"/>
    </row>
    <row r="12" spans="1:4">
      <c r="A12" s="17"/>
      <c r="B12" s="17"/>
      <c r="C12" s="17"/>
      <c r="D12" s="17"/>
    </row>
    <row r="13" spans="1:4">
      <c r="A13" s="17"/>
      <c r="B13" s="17"/>
      <c r="C13" s="17"/>
      <c r="D13" s="17"/>
    </row>
  </sheetData>
  <mergeCells count="2">
    <mergeCell ref="A1:D2"/>
    <mergeCell ref="A11:D13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Human Review</vt:lpstr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許文馨</cp:lastModifiedBy>
  <dcterms:modified xsi:type="dcterms:W3CDTF">2026-09-03T03:12:55Z</dcterms:modified>
</cp:coreProperties>
</file>